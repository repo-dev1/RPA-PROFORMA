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avilesm.ACONIC\Desktop\"/>
    </mc:Choice>
  </mc:AlternateContent>
  <xr:revisionPtr revIDLastSave="0" documentId="13_ncr:1_{331FC138-C16C-4057-A460-6C36A5CDA36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B15" i="1"/>
  <c r="G22" i="1" l="1"/>
  <c r="G30" i="1" s="1"/>
  <c r="E42" i="1"/>
  <c r="G31" i="1" l="1"/>
  <c r="G32" i="1" s="1"/>
</calcChain>
</file>

<file path=xl/sharedStrings.xml><?xml version="1.0" encoding="utf-8"?>
<sst xmlns="http://schemas.openxmlformats.org/spreadsheetml/2006/main" count="49" uniqueCount="48">
  <si>
    <t>Aeroservicios Comerciales de Nicaragua, S.A</t>
  </si>
  <si>
    <t>ORDEN DE COMPRA</t>
  </si>
  <si>
    <t>ACONIC</t>
  </si>
  <si>
    <t>Rubenia A-15</t>
  </si>
  <si>
    <t>Ruc: J0310000003432</t>
  </si>
  <si>
    <t>Managua – Nicaragua.</t>
  </si>
  <si>
    <t>Teléfono (505) 2289-0325  Fax (505) 2289-0086</t>
  </si>
  <si>
    <t xml:space="preserve">Favor enviar los materiales especificados en esta orden de </t>
  </si>
  <si>
    <t>compras Y cargar el importe de los mismo  a nuestra cuenta.</t>
  </si>
  <si>
    <t>Número de pedido de compra:</t>
  </si>
  <si>
    <t xml:space="preserve"> </t>
  </si>
  <si>
    <t xml:space="preserve">Para: </t>
  </si>
  <si>
    <t xml:space="preserve">Fecha </t>
  </si>
  <si>
    <t>Solicitante</t>
  </si>
  <si>
    <t>Tipo de Compra</t>
  </si>
  <si>
    <t>Area</t>
  </si>
  <si>
    <t>Autoriza</t>
  </si>
  <si>
    <t>Enviar a:</t>
  </si>
  <si>
    <t>ACONIC S.A</t>
  </si>
  <si>
    <t>Ivette Medina</t>
  </si>
  <si>
    <t>Residencial Rubenia, del parque  2c al sur</t>
  </si>
  <si>
    <t>Managua-Nicaragua</t>
  </si>
  <si>
    <t>CODIGO</t>
  </si>
  <si>
    <t>DESCRIPCIÓN</t>
  </si>
  <si>
    <t xml:space="preserve">CANTIDAD </t>
  </si>
  <si>
    <t xml:space="preserve">PRECIO UNITARIO </t>
  </si>
  <si>
    <t>TOTAL</t>
  </si>
  <si>
    <t>OBSERVACIONES</t>
  </si>
  <si>
    <t>SUB TOTAL</t>
  </si>
  <si>
    <t>Establecer Forma de Entrega</t>
  </si>
  <si>
    <t>I.V.A</t>
  </si>
  <si>
    <t>Indicar Garantía del Producto.</t>
  </si>
  <si>
    <t>Total</t>
  </si>
  <si>
    <t>Favor cumplir con los precios y condiciones establecidas.</t>
  </si>
  <si>
    <t>Especificar exoneración del IR-ALMA</t>
  </si>
  <si>
    <t>Entregar a Domicilio</t>
  </si>
  <si>
    <t xml:space="preserve">La entrega de los productos se Hara estrictamente en las instalaciones de la empresa. </t>
  </si>
  <si>
    <t>Si la factura no lleva firma y sello del responsable de suministros de la empresa no se procederá a cancelar la misma.</t>
  </si>
  <si>
    <t>Equipos de computo</t>
  </si>
  <si>
    <t>Informatica</t>
  </si>
  <si>
    <t>2289-0325 EXT.110</t>
  </si>
  <si>
    <t>Email. informatica2@aconic.com.ni</t>
  </si>
  <si>
    <t>David Garcia</t>
  </si>
  <si>
    <t>CONICO</t>
  </si>
  <si>
    <t>SOPORTE DE MONITORES CON REGLETA</t>
  </si>
  <si>
    <t>MEMORIAS RAM KINGTONS 8GB DDR4 3200</t>
  </si>
  <si>
    <t>Autorizado por Lic. Ivette Medina</t>
  </si>
  <si>
    <t xml:space="preserve"> CONICO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</si>
</sst>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&quot;C$&quot;\ #,##0.00"/>
    <numFmt numFmtId="165" formatCode="\$\ #,##0.00"/>
    <numFmt numFmtId="166" formatCode="&quot;C$&quot;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4"/>
      <color rgb="FF002060"/>
      <name val="Baskerville Old Face"/>
      <family val="1"/>
    </font>
    <font>
      <b/>
      <sz val="20"/>
      <color rgb="FF002060"/>
      <name val="Tahoma"/>
      <family val="2"/>
    </font>
    <font>
      <b/>
      <i/>
      <sz val="16"/>
      <color rgb="FF002060"/>
      <name val="Baskerville Old Face"/>
      <family val="1"/>
    </font>
    <font>
      <b/>
      <sz val="20"/>
      <color indexed="23"/>
      <name val="Tahoma"/>
      <family val="2"/>
    </font>
    <font>
      <b/>
      <i/>
      <sz val="14"/>
      <color rgb="FF002060"/>
      <name val="Tahoma"/>
      <family val="2"/>
    </font>
    <font>
      <b/>
      <sz val="14"/>
      <color rgb="FFFF0000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b/>
      <sz val="12"/>
      <name val="Tahoma"/>
      <family val="2"/>
    </font>
    <font>
      <b/>
      <sz val="8.5"/>
      <name val="Tahoma"/>
      <family val="2"/>
    </font>
    <font>
      <sz val="11"/>
      <color indexed="9"/>
      <name val="Calibri"/>
      <family val="2"/>
    </font>
    <font>
      <b/>
      <sz val="11"/>
      <name val="Calibri"/>
      <family val="2"/>
    </font>
    <font>
      <b/>
      <sz val="10"/>
      <color rgb="FF002060"/>
      <name val="Tahoma"/>
      <family val="2"/>
    </font>
    <font>
      <b/>
      <sz val="18"/>
      <name val="Stencil"/>
      <family val="5"/>
    </font>
    <font>
      <b/>
      <sz val="10"/>
      <name val="Arial"/>
      <family val="2"/>
    </font>
    <font>
      <sz val="8.5"/>
      <name val="Tahoma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b/>
      <sz val="10"/>
      <name val="Calibri"/>
      <family val="2"/>
    </font>
    <font>
      <b/>
      <sz val="8"/>
      <name val="Arial"/>
      <family val="2"/>
    </font>
    <font>
      <sz val="11"/>
      <name val="Tahoma"/>
      <family val="2"/>
    </font>
    <font>
      <sz val="8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5" fillId="2" borderId="0" applyNumberFormat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/>
  </cellStyleXfs>
  <cellXfs count="100">
    <xf numFmtId="0" fontId="0" fillId="0" borderId="0" xfId="0"/>
    <xf numFmtId="0" fontId="6" fillId="0" borderId="0" xfId="3" applyFont="1" applyBorder="1" applyAlignment="1">
      <alignment vertical="top" wrapText="1"/>
    </xf>
    <xf numFmtId="0" fontId="2" fillId="0" borderId="0" xfId="3" applyFont="1" applyBorder="1" applyAlignment="1">
      <alignment horizontal="center"/>
    </xf>
    <xf numFmtId="164" fontId="2" fillId="0" borderId="0" xfId="3" applyNumberFormat="1" applyFont="1" applyBorder="1" applyAlignment="1">
      <alignment horizontal="center"/>
    </xf>
    <xf numFmtId="0" fontId="2" fillId="0" borderId="7" xfId="3" applyFont="1" applyBorder="1"/>
    <xf numFmtId="0" fontId="10" fillId="0" borderId="0" xfId="3" applyFont="1" applyBorder="1" applyAlignment="1">
      <alignment vertical="top" wrapText="1"/>
    </xf>
    <xf numFmtId="0" fontId="2" fillId="0" borderId="0" xfId="3" applyFont="1" applyBorder="1"/>
    <xf numFmtId="0" fontId="12" fillId="0" borderId="6" xfId="3" applyFont="1" applyBorder="1" applyAlignment="1">
      <alignment horizontal="left" wrapText="1"/>
    </xf>
    <xf numFmtId="0" fontId="14" fillId="0" borderId="6" xfId="3" applyFont="1" applyBorder="1"/>
    <xf numFmtId="0" fontId="9" fillId="0" borderId="6" xfId="3" applyFont="1" applyBorder="1" applyAlignment="1">
      <alignment vertical="top" wrapText="1"/>
    </xf>
    <xf numFmtId="0" fontId="14" fillId="0" borderId="0" xfId="3" applyFont="1" applyBorder="1" applyAlignment="1">
      <alignment horizontal="center" vertical="center" wrapText="1"/>
    </xf>
    <xf numFmtId="164" fontId="14" fillId="0" borderId="0" xfId="3" applyNumberFormat="1" applyFont="1" applyBorder="1" applyAlignment="1">
      <alignment horizontal="center" vertical="center" wrapText="1"/>
    </xf>
    <xf numFmtId="0" fontId="19" fillId="0" borderId="0" xfId="3" applyFont="1" applyBorder="1" applyAlignment="1">
      <alignment horizontal="center" vertical="center"/>
    </xf>
    <xf numFmtId="0" fontId="20" fillId="0" borderId="6" xfId="3" applyFont="1" applyBorder="1" applyAlignment="1">
      <alignment horizontal="left" vertical="top" wrapText="1"/>
    </xf>
    <xf numFmtId="0" fontId="20" fillId="0" borderId="6" xfId="3" applyFont="1" applyBorder="1"/>
    <xf numFmtId="0" fontId="23" fillId="3" borderId="8" xfId="4" applyFont="1" applyFill="1" applyBorder="1" applyAlignment="1">
      <alignment horizontal="center" vertical="center" wrapText="1"/>
    </xf>
    <xf numFmtId="164" fontId="23" fillId="3" borderId="8" xfId="4" applyNumberFormat="1" applyFont="1" applyFill="1" applyBorder="1" applyAlignment="1">
      <alignment horizontal="center" vertical="center" wrapText="1"/>
    </xf>
    <xf numFmtId="0" fontId="24" fillId="0" borderId="8" xfId="3" applyFont="1" applyBorder="1" applyAlignment="1">
      <alignment horizontal="center"/>
    </xf>
    <xf numFmtId="0" fontId="19" fillId="0" borderId="9" xfId="1" applyNumberFormat="1" applyFont="1" applyBorder="1" applyAlignment="1">
      <alignment horizontal="center"/>
    </xf>
    <xf numFmtId="164" fontId="19" fillId="0" borderId="10" xfId="3" applyNumberFormat="1" applyFont="1" applyBorder="1" applyAlignment="1"/>
    <xf numFmtId="0" fontId="25" fillId="0" borderId="0" xfId="3" applyFont="1" applyBorder="1" applyAlignment="1">
      <alignment wrapText="1"/>
    </xf>
    <xf numFmtId="164" fontId="19" fillId="0" borderId="8" xfId="3" applyNumberFormat="1" applyFont="1" applyBorder="1" applyAlignment="1">
      <alignment horizontal="center"/>
    </xf>
    <xf numFmtId="164" fontId="19" fillId="0" borderId="7" xfId="3" applyNumberFormat="1" applyFont="1" applyBorder="1" applyAlignment="1">
      <alignment horizontal="center"/>
    </xf>
    <xf numFmtId="164" fontId="26" fillId="0" borderId="0" xfId="3" applyNumberFormat="1" applyFont="1" applyBorder="1" applyAlignment="1">
      <alignment horizontal="center" wrapText="1"/>
    </xf>
    <xf numFmtId="164" fontId="14" fillId="0" borderId="0" xfId="3" applyNumberFormat="1" applyFont="1" applyBorder="1" applyAlignment="1">
      <alignment horizontal="center" vertical="top" wrapText="1"/>
    </xf>
    <xf numFmtId="164" fontId="14" fillId="0" borderId="7" xfId="3" applyNumberFormat="1" applyFont="1" applyBorder="1" applyAlignment="1">
      <alignment horizontal="left" vertical="top" wrapText="1"/>
    </xf>
    <xf numFmtId="164" fontId="1" fillId="0" borderId="0" xfId="0" applyNumberFormat="1" applyFont="1" applyBorder="1" applyAlignment="1">
      <alignment horizontal="center"/>
    </xf>
    <xf numFmtId="164" fontId="20" fillId="0" borderId="7" xfId="3" applyNumberFormat="1" applyFont="1" applyBorder="1" applyAlignment="1">
      <alignment vertical="top" wrapText="1"/>
    </xf>
    <xf numFmtId="0" fontId="25" fillId="0" borderId="0" xfId="3" applyFont="1" applyBorder="1" applyAlignment="1">
      <alignment vertical="top" wrapText="1"/>
    </xf>
    <xf numFmtId="164" fontId="20" fillId="0" borderId="0" xfId="3" applyNumberFormat="1" applyFont="1" applyBorder="1" applyAlignment="1">
      <alignment horizontal="center" vertical="top" wrapText="1"/>
    </xf>
    <xf numFmtId="0" fontId="20" fillId="0" borderId="7" xfId="3" applyFont="1" applyBorder="1" applyAlignment="1">
      <alignment vertical="top" wrapText="1"/>
    </xf>
    <xf numFmtId="0" fontId="9" fillId="0" borderId="6" xfId="3" applyFont="1" applyBorder="1" applyAlignment="1">
      <alignment horizontal="left" vertical="top" wrapText="1"/>
    </xf>
    <xf numFmtId="0" fontId="9" fillId="0" borderId="0" xfId="3" applyFont="1" applyBorder="1" applyAlignment="1">
      <alignment horizontal="left" vertical="top" wrapText="1"/>
    </xf>
    <xf numFmtId="0" fontId="2" fillId="0" borderId="6" xfId="3" applyFont="1" applyFill="1" applyBorder="1"/>
    <xf numFmtId="0" fontId="2" fillId="0" borderId="0" xfId="3" applyFont="1" applyFill="1" applyBorder="1"/>
    <xf numFmtId="0" fontId="20" fillId="0" borderId="0" xfId="3" applyFont="1" applyFill="1" applyBorder="1" applyAlignment="1">
      <alignment vertical="top" wrapText="1"/>
    </xf>
    <xf numFmtId="0" fontId="20" fillId="0" borderId="0" xfId="3" applyFont="1" applyFill="1" applyBorder="1" applyAlignment="1">
      <alignment horizontal="center" vertical="top" wrapText="1"/>
    </xf>
    <xf numFmtId="164" fontId="20" fillId="0" borderId="0" xfId="3" applyNumberFormat="1" applyFont="1" applyFill="1" applyBorder="1" applyAlignment="1">
      <alignment horizontal="center" vertical="top" wrapText="1"/>
    </xf>
    <xf numFmtId="0" fontId="20" fillId="0" borderId="7" xfId="3" applyFont="1" applyFill="1" applyBorder="1" applyAlignment="1">
      <alignment vertical="top" wrapText="1"/>
    </xf>
    <xf numFmtId="0" fontId="20" fillId="0" borderId="13" xfId="3" applyFont="1" applyFill="1" applyBorder="1" applyAlignment="1">
      <alignment horizontal="center" vertical="top" wrapText="1"/>
    </xf>
    <xf numFmtId="164" fontId="20" fillId="0" borderId="13" xfId="3" applyNumberFormat="1" applyFont="1" applyFill="1" applyBorder="1" applyAlignment="1">
      <alignment horizontal="center" vertical="top" wrapText="1"/>
    </xf>
    <xf numFmtId="0" fontId="20" fillId="0" borderId="14" xfId="3" applyFont="1" applyFill="1" applyBorder="1" applyAlignment="1">
      <alignment vertical="top" wrapText="1"/>
    </xf>
    <xf numFmtId="165" fontId="27" fillId="0" borderId="8" xfId="2" applyNumberFormat="1" applyFont="1" applyBorder="1" applyAlignment="1">
      <alignment horizontal="center"/>
    </xf>
    <xf numFmtId="164" fontId="27" fillId="0" borderId="8" xfId="2" applyNumberFormat="1" applyFont="1" applyBorder="1" applyAlignment="1">
      <alignment horizontal="center"/>
    </xf>
    <xf numFmtId="44" fontId="27" fillId="0" borderId="8" xfId="2" applyFont="1" applyBorder="1" applyAlignment="1">
      <alignment horizontal="center"/>
    </xf>
    <xf numFmtId="166" fontId="27" fillId="0" borderId="8" xfId="2" applyNumberFormat="1" applyFont="1" applyBorder="1" applyAlignment="1">
      <alignment horizontal="center"/>
    </xf>
    <xf numFmtId="0" fontId="10" fillId="4" borderId="1" xfId="3" applyFont="1" applyFill="1" applyBorder="1" applyAlignment="1">
      <alignment horizontal="center" vertical="top" wrapText="1"/>
    </xf>
    <xf numFmtId="0" fontId="10" fillId="4" borderId="2" xfId="3" applyFont="1" applyFill="1" applyBorder="1" applyAlignment="1">
      <alignment horizontal="center" vertical="top" wrapText="1"/>
    </xf>
    <xf numFmtId="0" fontId="10" fillId="4" borderId="3" xfId="3" applyFont="1" applyFill="1" applyBorder="1" applyAlignment="1">
      <alignment horizontal="center" vertical="top" wrapText="1"/>
    </xf>
    <xf numFmtId="14" fontId="10" fillId="4" borderId="1" xfId="3" applyNumberFormat="1" applyFont="1" applyFill="1" applyBorder="1" applyAlignment="1">
      <alignment horizontal="center" vertical="top" wrapText="1"/>
    </xf>
    <xf numFmtId="14" fontId="10" fillId="4" borderId="2" xfId="3" applyNumberFormat="1" applyFont="1" applyFill="1" applyBorder="1" applyAlignment="1">
      <alignment horizontal="center" vertical="top" wrapText="1"/>
    </xf>
    <xf numFmtId="14" fontId="10" fillId="4" borderId="3" xfId="3" applyNumberFormat="1" applyFont="1" applyFill="1" applyBorder="1" applyAlignment="1">
      <alignment horizontal="center" vertical="top" wrapText="1"/>
    </xf>
    <xf numFmtId="0" fontId="19" fillId="0" borderId="8" xfId="3" applyFont="1" applyBorder="1" applyAlignment="1">
      <alignment horizontal="left" wrapText="1"/>
    </xf>
    <xf numFmtId="0" fontId="16" fillId="3" borderId="8" xfId="6" applyFont="1" applyFill="1" applyBorder="1" applyAlignment="1">
      <alignment horizontal="center" vertical="top" wrapText="1"/>
    </xf>
    <xf numFmtId="0" fontId="25" fillId="0" borderId="11" xfId="3" applyFont="1" applyBorder="1" applyAlignment="1">
      <alignment horizontal="left" wrapText="1"/>
    </xf>
    <xf numFmtId="0" fontId="25" fillId="0" borderId="12" xfId="3" applyFont="1" applyBorder="1" applyAlignment="1">
      <alignment horizontal="left" wrapText="1"/>
    </xf>
    <xf numFmtId="0" fontId="25" fillId="0" borderId="6" xfId="3" applyFont="1" applyBorder="1" applyAlignment="1">
      <alignment horizontal="left" wrapText="1"/>
    </xf>
    <xf numFmtId="0" fontId="25" fillId="0" borderId="0" xfId="3" applyFont="1" applyBorder="1" applyAlignment="1">
      <alignment horizontal="left" wrapText="1"/>
    </xf>
    <xf numFmtId="0" fontId="25" fillId="0" borderId="6" xfId="3" applyFont="1" applyBorder="1" applyAlignment="1">
      <alignment horizontal="left" vertical="top" wrapText="1"/>
    </xf>
    <xf numFmtId="0" fontId="25" fillId="0" borderId="0" xfId="3" applyFont="1" applyBorder="1" applyAlignment="1">
      <alignment horizontal="left" vertical="top" wrapText="1"/>
    </xf>
    <xf numFmtId="0" fontId="9" fillId="0" borderId="6" xfId="3" applyFont="1" applyBorder="1" applyAlignment="1">
      <alignment horizontal="center" vertical="top" wrapText="1"/>
    </xf>
    <xf numFmtId="0" fontId="9" fillId="0" borderId="0" xfId="3" applyFont="1" applyBorder="1" applyAlignment="1">
      <alignment horizontal="center" vertical="top" wrapText="1"/>
    </xf>
    <xf numFmtId="0" fontId="9" fillId="0" borderId="6" xfId="3" applyFont="1" applyBorder="1" applyAlignment="1">
      <alignment horizontal="left" vertical="top" wrapText="1"/>
    </xf>
    <xf numFmtId="0" fontId="9" fillId="0" borderId="0" xfId="3" applyFont="1" applyBorder="1" applyAlignment="1">
      <alignment horizontal="left" vertical="top" wrapText="1"/>
    </xf>
    <xf numFmtId="0" fontId="24" fillId="0" borderId="8" xfId="3" applyFont="1" applyBorder="1" applyAlignment="1">
      <alignment wrapText="1"/>
    </xf>
    <xf numFmtId="164" fontId="14" fillId="0" borderId="8" xfId="3" applyNumberFormat="1" applyFont="1" applyBorder="1" applyAlignment="1">
      <alignment horizontal="center" vertical="center" wrapText="1"/>
    </xf>
    <xf numFmtId="0" fontId="9" fillId="0" borderId="0" xfId="3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top" wrapText="1"/>
    </xf>
    <xf numFmtId="0" fontId="14" fillId="0" borderId="0" xfId="3" applyFont="1" applyBorder="1" applyAlignment="1">
      <alignment horizontal="left" vertical="top" wrapText="1"/>
    </xf>
    <xf numFmtId="0" fontId="22" fillId="0" borderId="0" xfId="5" applyFont="1" applyBorder="1" applyAlignment="1" applyProtection="1">
      <alignment horizontal="right" vertical="top" wrapText="1"/>
    </xf>
    <xf numFmtId="0" fontId="22" fillId="0" borderId="7" xfId="5" applyFont="1" applyBorder="1" applyAlignment="1" applyProtection="1">
      <alignment horizontal="right" vertical="top" wrapText="1"/>
    </xf>
    <xf numFmtId="0" fontId="23" fillId="3" borderId="8" xfId="4" applyFont="1" applyFill="1" applyBorder="1" applyAlignment="1">
      <alignment horizontal="center" vertical="center" wrapText="1"/>
    </xf>
    <xf numFmtId="0" fontId="24" fillId="0" borderId="8" xfId="3" applyFont="1" applyBorder="1" applyAlignment="1">
      <alignment horizontal="left" wrapText="1"/>
    </xf>
    <xf numFmtId="0" fontId="16" fillId="3" borderId="8" xfId="4" applyFont="1" applyFill="1" applyBorder="1" applyAlignment="1">
      <alignment horizontal="center" vertical="center" wrapText="1"/>
    </xf>
    <xf numFmtId="164" fontId="16" fillId="3" borderId="8" xfId="4" applyNumberFormat="1" applyFont="1" applyFill="1" applyBorder="1" applyAlignment="1">
      <alignment horizontal="center" vertical="center" wrapText="1"/>
    </xf>
    <xf numFmtId="0" fontId="17" fillId="0" borderId="0" xfId="3" applyFont="1" applyBorder="1" applyAlignment="1">
      <alignment horizontal="center" vertical="top" wrapText="1"/>
    </xf>
    <xf numFmtId="0" fontId="17" fillId="0" borderId="7" xfId="3" applyFont="1" applyBorder="1" applyAlignment="1">
      <alignment horizontal="center" vertical="top" wrapText="1"/>
    </xf>
    <xf numFmtId="0" fontId="18" fillId="0" borderId="6" xfId="3" applyFont="1" applyBorder="1" applyAlignment="1">
      <alignment horizontal="center" vertical="top" wrapText="1"/>
    </xf>
    <xf numFmtId="14" fontId="14" fillId="0" borderId="8" xfId="3" applyNumberFormat="1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left" vertical="top" wrapText="1"/>
    </xf>
    <xf numFmtId="0" fontId="11" fillId="0" borderId="0" xfId="3" applyFont="1" applyBorder="1" applyAlignment="1">
      <alignment horizontal="left" vertical="top" wrapText="1"/>
    </xf>
    <xf numFmtId="0" fontId="11" fillId="0" borderId="6" xfId="3" applyFont="1" applyBorder="1" applyAlignment="1">
      <alignment horizontal="left" wrapText="1"/>
    </xf>
    <xf numFmtId="0" fontId="11" fillId="0" borderId="0" xfId="3" applyFont="1" applyBorder="1" applyAlignment="1">
      <alignment horizontal="left" wrapText="1"/>
    </xf>
    <xf numFmtId="0" fontId="9" fillId="0" borderId="6" xfId="3" applyFont="1" applyBorder="1" applyAlignment="1">
      <alignment horizontal="left" wrapText="1"/>
    </xf>
    <xf numFmtId="0" fontId="9" fillId="0" borderId="0" xfId="3" applyFont="1" applyBorder="1" applyAlignment="1">
      <alignment horizontal="left" wrapText="1"/>
    </xf>
    <xf numFmtId="0" fontId="13" fillId="0" borderId="0" xfId="3" applyFont="1" applyBorder="1" applyAlignment="1">
      <alignment horizont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0" xfId="3" applyFont="1" applyBorder="1" applyAlignment="1">
      <alignment horizontal="center" vertical="center" wrapText="1"/>
    </xf>
    <xf numFmtId="0" fontId="7" fillId="0" borderId="6" xfId="3" applyFont="1" applyBorder="1" applyAlignment="1">
      <alignment horizontal="center" wrapText="1"/>
    </xf>
    <xf numFmtId="0" fontId="7" fillId="0" borderId="0" xfId="3" applyFont="1" applyBorder="1" applyAlignment="1">
      <alignment horizontal="center" wrapText="1"/>
    </xf>
    <xf numFmtId="0" fontId="8" fillId="0" borderId="6" xfId="3" applyFont="1" applyBorder="1" applyAlignment="1">
      <alignment horizontal="center" wrapText="1"/>
    </xf>
    <xf numFmtId="0" fontId="8" fillId="0" borderId="0" xfId="3" applyFont="1" applyBorder="1" applyAlignment="1">
      <alignment horizontal="center" wrapText="1"/>
    </xf>
    <xf numFmtId="0" fontId="11" fillId="0" borderId="6" xfId="3" applyFont="1" applyBorder="1" applyAlignment="1">
      <alignment horizontal="center" vertical="center" wrapText="1"/>
    </xf>
  </cellXfs>
  <cellStyles count="7">
    <cellStyle name="60% - Énfasis5 2" xfId="6" xr:uid="{00000000-0005-0000-0000-000000000000}"/>
    <cellStyle name="Énfasis5 2" xfId="4" xr:uid="{00000000-0005-0000-0000-000001000000}"/>
    <cellStyle name="Hipervínculo" xfId="5" builtinId="8"/>
    <cellStyle name="Millares" xfId="1" builtinId="3"/>
    <cellStyle name="Moneda" xfId="2" builtinId="4"/>
    <cellStyle name="Normal" xfId="0" builtinId="0"/>
    <cellStyle name="Normal 4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318798</xdr:colOff>
      <xdr:row>1</xdr:row>
      <xdr:rowOff>242454</xdr:rowOff>
    </xdr:from>
    <xdr:to>
      <xdr:col>7</xdr:col>
      <xdr:colOff>275302</xdr:colOff>
      <xdr:row>6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3098" y="575829"/>
          <a:ext cx="2347279" cy="1272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.reembolso@aconic.com.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view="pageBreakPreview" topLeftCell="A4" zoomScale="85" zoomScaleNormal="70" zoomScaleSheetLayoutView="85" workbookViewId="0">
      <selection activeCell="A14" sqref="A14:A16"/>
    </sheetView>
  </sheetViews>
  <sheetFormatPr baseColWidth="10" defaultRowHeight="15" x14ac:dyDescent="0.25"/>
  <cols>
    <col min="1" max="4" width="14.7109375" customWidth="1"/>
    <col min="7" max="7" width="13" bestFit="1" customWidth="1"/>
  </cols>
  <sheetData>
    <row r="1" spans="1:8" ht="26.25" thickBot="1" x14ac:dyDescent="0.3">
      <c r="A1" s="88" t="s">
        <v>0</v>
      </c>
      <c r="B1" s="89"/>
      <c r="C1" s="89"/>
      <c r="D1" s="90"/>
      <c r="E1" s="91" t="s">
        <v>1</v>
      </c>
      <c r="F1" s="91"/>
      <c r="G1" s="91"/>
      <c r="H1" s="92"/>
    </row>
    <row r="2" spans="1:8" ht="25.5" x14ac:dyDescent="0.25">
      <c r="A2" s="93" t="s">
        <v>2</v>
      </c>
      <c r="B2" s="94"/>
      <c r="C2" s="94"/>
      <c r="D2" s="1"/>
      <c r="E2" s="2"/>
      <c r="F2" s="3"/>
      <c r="G2" s="3"/>
      <c r="H2" s="4"/>
    </row>
    <row r="3" spans="1:8" ht="25.5" x14ac:dyDescent="0.25">
      <c r="A3" s="95" t="s">
        <v>3</v>
      </c>
      <c r="B3" s="96"/>
      <c r="C3" s="96"/>
      <c r="D3" s="1"/>
      <c r="E3" s="2"/>
      <c r="F3" s="3"/>
      <c r="G3" s="3"/>
      <c r="H3" s="4"/>
    </row>
    <row r="4" spans="1:8" ht="25.5" x14ac:dyDescent="0.25">
      <c r="A4" s="97" t="s">
        <v>4</v>
      </c>
      <c r="B4" s="98"/>
      <c r="C4" s="98"/>
      <c r="D4" s="1"/>
      <c r="E4" s="2"/>
      <c r="F4" s="3"/>
      <c r="G4" s="3"/>
      <c r="H4" s="4"/>
    </row>
    <row r="5" spans="1:8" ht="25.5" x14ac:dyDescent="0.25">
      <c r="A5" s="85" t="s">
        <v>5</v>
      </c>
      <c r="B5" s="86"/>
      <c r="C5" s="86"/>
      <c r="D5" s="1"/>
      <c r="E5" s="2"/>
      <c r="F5" s="3"/>
      <c r="G5" s="3"/>
      <c r="H5" s="4"/>
    </row>
    <row r="6" spans="1:8" x14ac:dyDescent="0.25">
      <c r="A6" s="62" t="s">
        <v>6</v>
      </c>
      <c r="B6" s="63"/>
      <c r="C6" s="63"/>
      <c r="D6" s="63"/>
      <c r="E6" s="5"/>
      <c r="F6" s="3"/>
      <c r="G6" s="3"/>
      <c r="H6" s="4"/>
    </row>
    <row r="7" spans="1:8" ht="15" customHeight="1" x14ac:dyDescent="0.25">
      <c r="A7" s="81" t="s">
        <v>7</v>
      </c>
      <c r="B7" s="82"/>
      <c r="C7" s="82"/>
      <c r="D7" s="82"/>
      <c r="E7" s="2"/>
      <c r="F7" s="3"/>
      <c r="G7" s="3"/>
      <c r="H7" s="4"/>
    </row>
    <row r="8" spans="1:8" ht="15" customHeight="1" x14ac:dyDescent="0.25">
      <c r="A8" s="83" t="s">
        <v>8</v>
      </c>
      <c r="B8" s="84"/>
      <c r="C8" s="84"/>
      <c r="D8" s="84"/>
      <c r="E8" s="2"/>
      <c r="F8" s="3"/>
      <c r="G8" s="3"/>
      <c r="H8" s="4"/>
    </row>
    <row r="9" spans="1:8" x14ac:dyDescent="0.25">
      <c r="A9" s="85" t="s">
        <v>9</v>
      </c>
      <c r="B9" s="86"/>
      <c r="C9" s="86"/>
      <c r="D9" s="6"/>
      <c r="E9" s="2"/>
      <c r="F9" s="3"/>
      <c r="G9" s="3"/>
      <c r="H9" s="4"/>
    </row>
    <row r="10" spans="1:8" ht="15.75" x14ac:dyDescent="0.25">
      <c r="A10" s="7" t="s">
        <v>10</v>
      </c>
      <c r="B10" s="87" t="s">
        <v>43</v>
      </c>
      <c r="C10" s="87"/>
      <c r="D10" s="87"/>
      <c r="E10" s="2"/>
      <c r="F10" s="3"/>
      <c r="G10" s="3"/>
      <c r="H10" s="4"/>
    </row>
    <row r="11" spans="1:8" x14ac:dyDescent="0.25">
      <c r="A11" s="8" t="s">
        <v>11</v>
      </c>
      <c r="B11" s="6"/>
      <c r="C11" s="6"/>
      <c r="D11" s="6"/>
      <c r="E11" s="2"/>
      <c r="F11" s="3"/>
      <c r="G11" s="3"/>
      <c r="H11" s="4"/>
    </row>
    <row r="12" spans="1:8" x14ac:dyDescent="0.25">
      <c r="A12" s="99" t="s">
        <v>47</v>
      </c>
      <c r="B12" s="74" t="s">
        <v>12</v>
      </c>
      <c r="C12" s="74" t="s">
        <v>13</v>
      </c>
      <c r="D12" s="74" t="s">
        <v>14</v>
      </c>
      <c r="E12" s="74" t="s">
        <v>15</v>
      </c>
      <c r="F12" s="75" t="s">
        <v>16</v>
      </c>
      <c r="G12" s="76" t="s">
        <v>17</v>
      </c>
      <c r="H12" s="77"/>
    </row>
    <row r="13" spans="1:8" x14ac:dyDescent="0.25">
      <c r="A13" s="99"/>
      <c r="B13" s="74"/>
      <c r="C13" s="74"/>
      <c r="D13" s="74"/>
      <c r="E13" s="74"/>
      <c r="F13" s="75"/>
      <c r="G13" s="66" t="s">
        <v>42</v>
      </c>
      <c r="H13" s="67"/>
    </row>
    <row r="14" spans="1:8" x14ac:dyDescent="0.25">
      <c r="A14" s="78"/>
      <c r="B14" s="74"/>
      <c r="C14" s="74"/>
      <c r="D14" s="74"/>
      <c r="E14" s="74"/>
      <c r="F14" s="75"/>
      <c r="G14" s="66" t="s">
        <v>18</v>
      </c>
      <c r="H14" s="67"/>
    </row>
    <row r="15" spans="1:8" x14ac:dyDescent="0.25">
      <c r="A15" s="78"/>
      <c r="B15" s="79">
        <f ca="1">TODAY()</f>
        <v>46037</v>
      </c>
      <c r="C15" s="80" t="s">
        <v>42</v>
      </c>
      <c r="D15" s="80" t="s">
        <v>38</v>
      </c>
      <c r="E15" s="80" t="s">
        <v>39</v>
      </c>
      <c r="F15" s="65" t="s">
        <v>19</v>
      </c>
      <c r="G15" s="66" t="s">
        <v>20</v>
      </c>
      <c r="H15" s="67"/>
    </row>
    <row r="16" spans="1:8" x14ac:dyDescent="0.25">
      <c r="A16" s="78"/>
      <c r="B16" s="80"/>
      <c r="C16" s="80"/>
      <c r="D16" s="80"/>
      <c r="E16" s="80"/>
      <c r="F16" s="65"/>
      <c r="G16" s="66"/>
      <c r="H16" s="67"/>
    </row>
    <row r="17" spans="1:8" x14ac:dyDescent="0.25">
      <c r="A17" s="9"/>
      <c r="B17" s="10"/>
      <c r="C17" s="10"/>
      <c r="D17" s="12"/>
      <c r="E17" s="10"/>
      <c r="F17" s="11"/>
      <c r="G17" s="66" t="s">
        <v>21</v>
      </c>
      <c r="H17" s="67"/>
    </row>
    <row r="18" spans="1:8" x14ac:dyDescent="0.25">
      <c r="A18" s="68"/>
      <c r="B18" s="69"/>
      <c r="C18" s="6"/>
      <c r="D18" s="12"/>
      <c r="E18" s="2"/>
      <c r="F18" s="3"/>
      <c r="G18" s="66" t="s">
        <v>40</v>
      </c>
      <c r="H18" s="67"/>
    </row>
    <row r="19" spans="1:8" x14ac:dyDescent="0.25">
      <c r="A19" s="13"/>
      <c r="B19" s="6"/>
      <c r="C19" s="6"/>
      <c r="D19" s="6"/>
      <c r="E19" s="2"/>
      <c r="F19" s="70" t="s">
        <v>41</v>
      </c>
      <c r="G19" s="70"/>
      <c r="H19" s="71"/>
    </row>
    <row r="20" spans="1:8" x14ac:dyDescent="0.25">
      <c r="A20" s="14"/>
      <c r="B20" s="6"/>
      <c r="C20" s="6"/>
      <c r="D20" s="6"/>
      <c r="E20" s="2"/>
      <c r="F20" s="3"/>
      <c r="G20" s="3"/>
      <c r="H20" s="4"/>
    </row>
    <row r="21" spans="1:8" ht="25.5" x14ac:dyDescent="0.25">
      <c r="A21" s="15" t="s">
        <v>22</v>
      </c>
      <c r="B21" s="72" t="s">
        <v>23</v>
      </c>
      <c r="C21" s="72"/>
      <c r="D21" s="72"/>
      <c r="E21" s="15" t="s">
        <v>24</v>
      </c>
      <c r="F21" s="16" t="s">
        <v>25</v>
      </c>
      <c r="G21" s="16" t="s">
        <v>26</v>
      </c>
      <c r="H21" s="4"/>
    </row>
    <row r="22" spans="1:8" ht="33" customHeight="1" x14ac:dyDescent="0.25">
      <c r="A22" s="17"/>
      <c r="B22" s="73" t="s">
        <v>44</v>
      </c>
      <c r="C22" s="73"/>
      <c r="D22" s="73"/>
      <c r="E22" s="18">
        <v>1</v>
      </c>
      <c r="F22" s="45">
        <v>1488.51</v>
      </c>
      <c r="G22" s="45">
        <f>F22*E22</f>
        <v>1488.51</v>
      </c>
      <c r="H22" s="4"/>
    </row>
    <row r="23" spans="1:8" ht="33" customHeight="1" x14ac:dyDescent="0.25">
      <c r="A23" s="17"/>
      <c r="B23" s="64" t="s">
        <v>45</v>
      </c>
      <c r="C23" s="64"/>
      <c r="D23" s="64"/>
      <c r="E23" s="18">
        <v>2</v>
      </c>
      <c r="F23" s="42">
        <v>1805.88</v>
      </c>
      <c r="G23" s="42">
        <f>E23*F23</f>
        <v>3611.76</v>
      </c>
      <c r="H23" s="4"/>
    </row>
    <row r="24" spans="1:8" ht="33" customHeight="1" x14ac:dyDescent="0.25">
      <c r="A24" s="17"/>
      <c r="B24" s="64"/>
      <c r="C24" s="64"/>
      <c r="D24" s="64"/>
      <c r="E24" s="18"/>
      <c r="F24" s="42"/>
      <c r="G24" s="42"/>
      <c r="H24" s="4"/>
    </row>
    <row r="25" spans="1:8" ht="33" customHeight="1" x14ac:dyDescent="0.25">
      <c r="A25" s="17"/>
      <c r="B25" s="64"/>
      <c r="C25" s="64"/>
      <c r="D25" s="64"/>
      <c r="E25" s="18"/>
      <c r="F25" s="42"/>
      <c r="G25" s="42"/>
      <c r="H25" s="4"/>
    </row>
    <row r="26" spans="1:8" ht="33" customHeight="1" x14ac:dyDescent="0.25">
      <c r="A26" s="17"/>
      <c r="B26" s="64"/>
      <c r="C26" s="64"/>
      <c r="D26" s="64"/>
      <c r="E26" s="18"/>
      <c r="F26" s="42"/>
      <c r="G26" s="42"/>
      <c r="H26" s="4"/>
    </row>
    <row r="27" spans="1:8" ht="33" customHeight="1" x14ac:dyDescent="0.25">
      <c r="A27" s="17"/>
      <c r="B27" s="52"/>
      <c r="C27" s="52"/>
      <c r="D27" s="52"/>
      <c r="E27" s="18"/>
      <c r="F27" s="44"/>
      <c r="G27" s="42"/>
      <c r="H27" s="4"/>
    </row>
    <row r="28" spans="1:8" ht="33" customHeight="1" x14ac:dyDescent="0.25">
      <c r="A28" s="17"/>
      <c r="B28" s="52"/>
      <c r="C28" s="52"/>
      <c r="D28" s="52"/>
      <c r="E28" s="18"/>
      <c r="F28" s="44"/>
      <c r="G28" s="42"/>
      <c r="H28" s="4"/>
    </row>
    <row r="29" spans="1:8" ht="33" customHeight="1" x14ac:dyDescent="0.25">
      <c r="A29" s="17"/>
      <c r="B29" s="52"/>
      <c r="C29" s="52"/>
      <c r="D29" s="52"/>
      <c r="E29" s="18"/>
      <c r="F29" s="44"/>
      <c r="G29" s="42"/>
      <c r="H29" s="4"/>
    </row>
    <row r="30" spans="1:8" x14ac:dyDescent="0.25">
      <c r="A30" s="53" t="s">
        <v>27</v>
      </c>
      <c r="B30" s="53"/>
      <c r="C30" s="53"/>
      <c r="D30" s="53"/>
      <c r="E30" s="19" t="s">
        <v>28</v>
      </c>
      <c r="F30" s="43"/>
      <c r="G30" s="45">
        <f>SUM(G22:G29)</f>
        <v>5100.2700000000004</v>
      </c>
      <c r="H30" s="4"/>
    </row>
    <row r="31" spans="1:8" ht="14.1" customHeight="1" x14ac:dyDescent="0.25">
      <c r="A31" s="54" t="s">
        <v>29</v>
      </c>
      <c r="B31" s="55"/>
      <c r="C31" s="55"/>
      <c r="D31" s="55"/>
      <c r="E31" s="20"/>
      <c r="F31" s="21" t="s">
        <v>30</v>
      </c>
      <c r="G31" s="45">
        <f>+G30*0.15</f>
        <v>765.04050000000007</v>
      </c>
      <c r="H31" s="4"/>
    </row>
    <row r="32" spans="1:8" x14ac:dyDescent="0.25">
      <c r="A32" s="56" t="s">
        <v>31</v>
      </c>
      <c r="B32" s="57"/>
      <c r="C32" s="57"/>
      <c r="D32" s="57"/>
      <c r="E32" s="20"/>
      <c r="F32" s="21" t="s">
        <v>32</v>
      </c>
      <c r="G32" s="45">
        <f>G30+G31</f>
        <v>5865.3105000000005</v>
      </c>
      <c r="H32" s="22"/>
    </row>
    <row r="33" spans="1:8" x14ac:dyDescent="0.25">
      <c r="A33" s="56" t="s">
        <v>33</v>
      </c>
      <c r="B33" s="57"/>
      <c r="C33" s="57"/>
      <c r="D33" s="57"/>
      <c r="E33" s="20"/>
      <c r="F33" s="23"/>
      <c r="G33" s="24"/>
      <c r="H33" s="25"/>
    </row>
    <row r="34" spans="1:8" x14ac:dyDescent="0.25">
      <c r="A34" s="56" t="s">
        <v>34</v>
      </c>
      <c r="B34" s="57"/>
      <c r="C34" s="57"/>
      <c r="D34" s="57"/>
      <c r="E34" s="20"/>
      <c r="F34" s="23"/>
      <c r="G34" s="26"/>
      <c r="H34" s="27"/>
    </row>
    <row r="35" spans="1:8" x14ac:dyDescent="0.25">
      <c r="A35" s="58" t="s">
        <v>35</v>
      </c>
      <c r="B35" s="59"/>
      <c r="C35" s="59"/>
      <c r="D35" s="59"/>
      <c r="E35" s="28"/>
      <c r="F35" s="24"/>
      <c r="G35" s="29"/>
      <c r="H35" s="30"/>
    </row>
    <row r="36" spans="1:8" ht="12.6" customHeight="1" x14ac:dyDescent="0.25">
      <c r="A36" s="60" t="s">
        <v>36</v>
      </c>
      <c r="B36" s="61"/>
      <c r="C36" s="61"/>
      <c r="D36" s="61"/>
      <c r="E36" s="61"/>
      <c r="F36" s="61"/>
      <c r="G36" s="29"/>
      <c r="H36" s="30"/>
    </row>
    <row r="37" spans="1:8" ht="15" customHeight="1" x14ac:dyDescent="0.25">
      <c r="A37" s="62" t="s">
        <v>37</v>
      </c>
      <c r="B37" s="63"/>
      <c r="C37" s="63"/>
      <c r="D37" s="63"/>
      <c r="E37" s="63"/>
      <c r="F37" s="63"/>
      <c r="G37" s="29"/>
      <c r="H37" s="30"/>
    </row>
    <row r="38" spans="1:8" x14ac:dyDescent="0.25">
      <c r="A38" s="62"/>
      <c r="B38" s="63"/>
      <c r="C38" s="63"/>
      <c r="D38" s="63"/>
      <c r="E38" s="63"/>
      <c r="F38" s="63"/>
      <c r="G38" s="29"/>
      <c r="H38" s="30"/>
    </row>
    <row r="39" spans="1:8" x14ac:dyDescent="0.25">
      <c r="A39" s="31"/>
      <c r="B39" s="32"/>
      <c r="C39" s="32"/>
      <c r="D39" s="32"/>
      <c r="E39" s="32"/>
      <c r="F39" s="29"/>
      <c r="G39" s="29"/>
      <c r="H39" s="30"/>
    </row>
    <row r="40" spans="1:8" x14ac:dyDescent="0.25">
      <c r="A40" s="33"/>
      <c r="B40" s="34"/>
      <c r="C40" s="35"/>
      <c r="D40" s="35"/>
      <c r="E40" s="36"/>
      <c r="F40" s="37"/>
      <c r="G40" s="37"/>
      <c r="H40" s="38"/>
    </row>
    <row r="41" spans="1:8" ht="15.75" thickBot="1" x14ac:dyDescent="0.3">
      <c r="A41" s="33"/>
      <c r="B41" s="34"/>
      <c r="C41" s="35"/>
      <c r="D41" s="35"/>
      <c r="E41" s="39"/>
      <c r="F41" s="40"/>
      <c r="G41" s="40"/>
      <c r="H41" s="41"/>
    </row>
    <row r="42" spans="1:8" ht="15.75" thickBot="1" x14ac:dyDescent="0.3">
      <c r="A42" s="46" t="s">
        <v>46</v>
      </c>
      <c r="B42" s="47"/>
      <c r="C42" s="47"/>
      <c r="D42" s="48"/>
      <c r="E42" s="49">
        <f ca="1">B15</f>
        <v>46037</v>
      </c>
      <c r="F42" s="50"/>
      <c r="G42" s="50"/>
      <c r="H42" s="51"/>
    </row>
  </sheetData>
  <mergeCells count="50">
    <mergeCell ref="A5:C5"/>
    <mergeCell ref="A1:D1"/>
    <mergeCell ref="E1:H1"/>
    <mergeCell ref="A2:C2"/>
    <mergeCell ref="A3:C3"/>
    <mergeCell ref="A4:C4"/>
    <mergeCell ref="A6:D6"/>
    <mergeCell ref="A7:D7"/>
    <mergeCell ref="A8:D8"/>
    <mergeCell ref="A9:C9"/>
    <mergeCell ref="B10:D10"/>
    <mergeCell ref="E12:E14"/>
    <mergeCell ref="F12:F14"/>
    <mergeCell ref="G12:H12"/>
    <mergeCell ref="G13:H13"/>
    <mergeCell ref="A14:A16"/>
    <mergeCell ref="G14:H14"/>
    <mergeCell ref="B15:B16"/>
    <mergeCell ref="C15:C16"/>
    <mergeCell ref="D15:D16"/>
    <mergeCell ref="E15:E16"/>
    <mergeCell ref="A12:A13"/>
    <mergeCell ref="B12:B14"/>
    <mergeCell ref="C12:C14"/>
    <mergeCell ref="D12:D14"/>
    <mergeCell ref="B26:D26"/>
    <mergeCell ref="F15:F16"/>
    <mergeCell ref="G15:H16"/>
    <mergeCell ref="G17:H17"/>
    <mergeCell ref="A18:B18"/>
    <mergeCell ref="G18:H18"/>
    <mergeCell ref="F19:H19"/>
    <mergeCell ref="B21:D21"/>
    <mergeCell ref="B22:D22"/>
    <mergeCell ref="B23:D23"/>
    <mergeCell ref="B24:D24"/>
    <mergeCell ref="B25:D25"/>
    <mergeCell ref="A42:D42"/>
    <mergeCell ref="E42:H42"/>
    <mergeCell ref="B27:D27"/>
    <mergeCell ref="B28:D28"/>
    <mergeCell ref="B29:D29"/>
    <mergeCell ref="A30:D30"/>
    <mergeCell ref="A31:D31"/>
    <mergeCell ref="A32:D32"/>
    <mergeCell ref="A33:D33"/>
    <mergeCell ref="A34:D34"/>
    <mergeCell ref="A35:D35"/>
    <mergeCell ref="A36:F36"/>
    <mergeCell ref="A37:F38"/>
  </mergeCells>
  <hyperlinks>
    <hyperlink ref="F19" r:id="rId1" display="Email.reembolso@aconic.com.ni" xr:uid="{00000000-0004-0000-0000-000000000000}"/>
  </hyperlinks>
  <pageMargins left="0.7" right="0.7" top="0.75" bottom="0.75" header="0.3" footer="0.3"/>
  <pageSetup scale="84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Salazar</dc:creator>
  <cp:lastModifiedBy>ELVIN MANUEL HERNANDEZ PEREZ</cp:lastModifiedBy>
  <cp:lastPrinted>2026-01-15T17:05:59Z</cp:lastPrinted>
  <dcterms:created xsi:type="dcterms:W3CDTF">2020-08-18T16:22:07Z</dcterms:created>
  <dcterms:modified xsi:type="dcterms:W3CDTF">2026-01-15T17:22:23Z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baf12277-a7b8-47b2-a7a1-b1a640d95051</vt:lpwstr>
  </property>
</Properties>
</file>