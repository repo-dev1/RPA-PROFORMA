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garcias\Desktop\"/>
    </mc:Choice>
  </mc:AlternateContent>
  <xr:revisionPtr revIDLastSave="0" documentId="13_ncr:1_{B60C9EE3-448A-4697-960C-B116456F0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2" l="1"/>
  <c r="H11" i="2"/>
  <c r="I11" i="2"/>
  <c r="K11" i="2"/>
  <c r="H12" i="2"/>
  <c r="I12" i="2"/>
  <c r="K12" i="2"/>
  <c r="H13" i="2"/>
  <c r="I13" i="2"/>
  <c r="K13" i="2"/>
  <c r="H14" i="2"/>
  <c r="I14" i="2"/>
  <c r="K14" i="2"/>
  <c r="I15" i="2"/>
  <c r="K15" i="2"/>
  <c r="K10" i="2"/>
  <c r="I10" i="2"/>
  <c r="H10" i="2"/>
  <c r="K9" i="2"/>
  <c r="I9" i="2"/>
  <c r="J9" i="2" s="1"/>
  <c r="H9" i="2"/>
  <c r="K8" i="2"/>
  <c r="H16" i="2" l="1"/>
  <c r="H17" i="2" s="1"/>
  <c r="H18" i="2" s="1"/>
  <c r="K16" i="2"/>
  <c r="K17" i="2" s="1"/>
  <c r="I16" i="2"/>
  <c r="I17" i="2" s="1"/>
  <c r="I18" i="2" s="1"/>
  <c r="J16" i="2"/>
  <c r="J8" i="2"/>
  <c r="H8" i="2"/>
  <c r="K18" i="2" l="1"/>
  <c r="J17" i="2"/>
  <c r="J18" i="2" s="1"/>
</calcChain>
</file>

<file path=xl/sharedStrings.xml><?xml version="1.0" encoding="utf-8"?>
<sst xmlns="http://schemas.openxmlformats.org/spreadsheetml/2006/main" count="20" uniqueCount="19">
  <si>
    <t>PROVEEDORES</t>
  </si>
  <si>
    <t xml:space="preserve">Descripción </t>
  </si>
  <si>
    <t>CANTIDAD</t>
  </si>
  <si>
    <t>SUBTOTAL</t>
  </si>
  <si>
    <t>IVA</t>
  </si>
  <si>
    <t>TOTAL</t>
  </si>
  <si>
    <t>No</t>
  </si>
  <si>
    <t>JICAZA</t>
  </si>
  <si>
    <t>MASTERTEC</t>
  </si>
  <si>
    <t>COMTECH</t>
  </si>
  <si>
    <t>CONICO</t>
  </si>
  <si>
    <t xml:space="preserve">PASTA TERMICA SABO / 30GMS / 56-0078(VIG) </t>
  </si>
  <si>
    <t xml:space="preserve">CABLE ADAPTADOR ARGOM ARG-CB-0055 / HDMI MACHO A VGA HEMBRA </t>
  </si>
  <si>
    <t xml:space="preserve">CABLE ADAPTADOR ARGOM ARG-CB-0045 - USB 2.0 TO RJ45 100MB/S 16/15CM </t>
  </si>
  <si>
    <t xml:space="preserve">CABLE ADAPTADOR ARGOM ARG-CB-0059 / DISPLAY PORT TO HDMI 6 </t>
  </si>
  <si>
    <t xml:space="preserve">ACUMULADOR ABLEREX 12V/9AH - AB-B AT12V9AH-AB </t>
  </si>
  <si>
    <t xml:space="preserve">CABLE ARGOM HDMI 50FT MACHO-MACHO / ARG-CB-1879 </t>
  </si>
  <si>
    <t>MEMORIA KINGSTON USB EXODIA 64GB 3.2/KC-U2G64-7GB</t>
  </si>
  <si>
    <t>Cuadro comparativo  - ACUMULADORES/UITLES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</si>
</sst>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_-[$C$-4C0A]* #,##0.00_-;\-[$C$-4C0A]* #,##0.00_-;_-[$C$-4C0A]* &quot;-&quot;??_-;_-@_-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9"/>
      <color theme="0"/>
      <name val="Calibri"/>
      <family val="2"/>
    </font>
    <font>
      <b/>
      <sz val="9"/>
      <color rgb="FF000000"/>
      <name val="Calibri"/>
      <family val="2"/>
    </font>
    <font>
      <sz val="10"/>
      <color theme="1"/>
      <name val="Calibri"/>
      <family val="2"/>
    </font>
    <font>
      <sz val="30"/>
      <color theme="4" tint="-0.499984740745262"/>
      <name val="Franklin Gothic Demi Cond"/>
      <family val="2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8"/>
      <color rgb="FF000000"/>
      <name val="ArialMT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164" fontId="5" fillId="3" borderId="0" xfId="0" applyNumberFormat="1" applyFont="1" applyFill="1" applyAlignment="1">
      <alignment horizontal="center" vertical="center"/>
    </xf>
    <xf numFmtId="0" fontId="9" fillId="0" borderId="0" xfId="0" applyFont="1"/>
    <xf numFmtId="165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165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 wrapText="1"/>
    </xf>
    <xf numFmtId="0" fontId="7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91108</xdr:colOff>
      <xdr:row>1</xdr:row>
      <xdr:rowOff>0</xdr:rowOff>
    </xdr:from>
    <xdr:to>
      <xdr:col>1</xdr:col>
      <xdr:colOff>2244587</xdr:colOff>
      <xdr:row>5</xdr:row>
      <xdr:rowOff>106503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F0BCB1-A519-4EE0-911C-95A056054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717" b="29953"/>
        <a:stretch/>
      </xdr:blipFill>
      <xdr:spPr>
        <a:xfrm>
          <a:off x="186358" y="190500"/>
          <a:ext cx="2153479" cy="868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BCA9-D46D-4760-B0A1-E221DC504738}">
  <sheetPr codeName="Hoja1">
    <pageSetUpPr fitToPage="1"/>
  </sheetPr>
  <dimension ref="A2:K25"/>
  <sheetViews>
    <sheetView showGridLines="0" tabSelected="1" view="pageBreakPreview" topLeftCell="B1" zoomScale="115" zoomScaleNormal="115" zoomScaleSheetLayoutView="115" workbookViewId="0">
      <selection activeCell="G19" sqref="G19"/>
    </sheetView>
  </sheetViews>
  <sheetFormatPr baseColWidth="10" defaultColWidth="11.28515625" defaultRowHeight="15"/>
  <cols>
    <col min="1" max="1" width="1.42578125" customWidth="1"/>
    <col min="2" max="2" width="35.85546875" customWidth="1"/>
    <col min="3" max="4" width="12.42578125" customWidth="1"/>
    <col min="5" max="5" width="12.42578125" hidden="1" customWidth="1"/>
    <col min="6" max="6" width="12.42578125" customWidth="1"/>
    <col min="7" max="7" width="7.42578125" customWidth="1"/>
    <col min="8" max="8" width="13.5703125" customWidth="1"/>
    <col min="9" max="9" width="13" customWidth="1"/>
    <col min="10" max="10" width="13.7109375" hidden="1" customWidth="1"/>
    <col min="11" max="11" width="13.85546875" customWidth="1"/>
  </cols>
  <sheetData>
    <row r="2" spans="1:11" ht="15" customHeight="1">
      <c r="B2" s="18" t="s">
        <v>18</v>
      </c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ht="15" customHeight="1">
      <c r="B4" s="18"/>
      <c r="C4" s="18"/>
      <c r="D4" s="18"/>
      <c r="E4" s="18"/>
      <c r="F4" s="18"/>
      <c r="G4" s="18"/>
      <c r="H4" s="18"/>
      <c r="I4" s="18"/>
      <c r="J4" s="18"/>
      <c r="K4" s="18"/>
    </row>
    <row r="7" spans="1:11">
      <c r="A7" s="1"/>
      <c r="B7" s="1"/>
      <c r="C7" s="19" t="s">
        <v>0</v>
      </c>
      <c r="D7" s="20"/>
      <c r="E7" s="20"/>
      <c r="F7" s="20"/>
      <c r="G7" s="20"/>
      <c r="H7" s="20"/>
      <c r="I7" s="20"/>
      <c r="J7" s="20"/>
      <c r="K7" s="20"/>
    </row>
    <row r="8" spans="1:11" ht="15.75">
      <c r="A8" s="2" t="s">
        <v>6</v>
      </c>
      <c r="B8" s="2" t="s">
        <v>1</v>
      </c>
      <c r="C8" s="3" t="s">
        <v>8</v>
      </c>
      <c r="D8" s="3" t="s">
        <v>10</v>
      </c>
      <c r="E8" s="3" t="s">
        <v>7</v>
      </c>
      <c r="F8" s="3" t="s">
        <v>9</v>
      </c>
      <c r="G8" s="4" t="s">
        <v>2</v>
      </c>
      <c r="H8" s="3" t="str">
        <f>C8</f>
        <v>MASTERTEC</v>
      </c>
      <c r="I8" s="3" t="s">
        <v>10</v>
      </c>
      <c r="J8" s="3" t="str">
        <f t="shared" ref="J8" si="0">E8</f>
        <v>JICAZA</v>
      </c>
      <c r="K8" s="3" t="str">
        <f>F8</f>
        <v>COMTECH</v>
      </c>
    </row>
    <row r="9" spans="1:11" ht="26.25" customHeight="1">
      <c r="A9" s="21"/>
      <c r="B9" s="22" t="s">
        <v>11</v>
      </c>
      <c r="C9" s="12">
        <v>420</v>
      </c>
      <c r="D9" s="12">
        <v>370.8</v>
      </c>
      <c r="E9" s="12"/>
      <c r="F9" s="12">
        <v>337</v>
      </c>
      <c r="G9" s="6">
        <v>3</v>
      </c>
      <c r="H9" s="12">
        <f>C9*G9</f>
        <v>1260</v>
      </c>
      <c r="I9" s="12">
        <f>D9*G9</f>
        <v>1112.4000000000001</v>
      </c>
      <c r="J9" s="12">
        <f t="shared" ref="J9" si="1">E9*I9</f>
        <v>0</v>
      </c>
      <c r="K9" s="12">
        <f>F9*G9</f>
        <v>1011</v>
      </c>
    </row>
    <row r="10" spans="1:11" ht="24.75" customHeight="1">
      <c r="A10" s="14"/>
      <c r="B10" s="22" t="s">
        <v>12</v>
      </c>
      <c r="C10" s="12">
        <v>285</v>
      </c>
      <c r="D10" s="12"/>
      <c r="E10" s="12"/>
      <c r="F10" s="12">
        <v>114.88</v>
      </c>
      <c r="G10" s="6">
        <v>3</v>
      </c>
      <c r="H10" s="12">
        <f>C10*G10</f>
        <v>855</v>
      </c>
      <c r="I10" s="12">
        <f>D10*G10</f>
        <v>0</v>
      </c>
      <c r="J10" s="12"/>
      <c r="K10" s="12">
        <f>F10*G10</f>
        <v>344.64</v>
      </c>
    </row>
    <row r="11" spans="1:11" ht="24.75" customHeight="1">
      <c r="A11" s="14"/>
      <c r="B11" s="22" t="s">
        <v>13</v>
      </c>
      <c r="C11" s="12">
        <v>660</v>
      </c>
      <c r="D11" s="12">
        <v>302.74</v>
      </c>
      <c r="E11" s="12"/>
      <c r="F11" s="12">
        <v>299.99</v>
      </c>
      <c r="G11" s="17">
        <v>3</v>
      </c>
      <c r="H11" s="12">
        <f t="shared" ref="H11:H15" si="2">C11*G11</f>
        <v>1980</v>
      </c>
      <c r="I11" s="12">
        <f t="shared" ref="I11:I15" si="3">D11*G11</f>
        <v>908.22</v>
      </c>
      <c r="J11" s="12"/>
      <c r="K11" s="12">
        <f t="shared" ref="K11:K15" si="4">F11*G11</f>
        <v>899.97</v>
      </c>
    </row>
    <row r="12" spans="1:11" ht="24.75" customHeight="1">
      <c r="A12" s="14"/>
      <c r="B12" s="22" t="s">
        <v>14</v>
      </c>
      <c r="C12" s="12">
        <v>250</v>
      </c>
      <c r="D12" s="12">
        <v>178.14</v>
      </c>
      <c r="E12" s="12"/>
      <c r="F12" s="12">
        <v>145</v>
      </c>
      <c r="G12" s="17">
        <v>1</v>
      </c>
      <c r="H12" s="12">
        <f t="shared" si="2"/>
        <v>250</v>
      </c>
      <c r="I12" s="12">
        <f t="shared" si="3"/>
        <v>178.14</v>
      </c>
      <c r="J12" s="12"/>
      <c r="K12" s="12">
        <f t="shared" si="4"/>
        <v>145</v>
      </c>
    </row>
    <row r="13" spans="1:11" ht="24.75" customHeight="1">
      <c r="A13" s="14"/>
      <c r="B13" s="22" t="s">
        <v>15</v>
      </c>
      <c r="C13" s="12">
        <v>835</v>
      </c>
      <c r="D13" s="12">
        <v>978.58</v>
      </c>
      <c r="E13" s="12"/>
      <c r="F13" s="12">
        <v>650</v>
      </c>
      <c r="G13" s="17">
        <v>15</v>
      </c>
      <c r="H13" s="12">
        <f t="shared" si="2"/>
        <v>12525</v>
      </c>
      <c r="I13" s="12">
        <f t="shared" si="3"/>
        <v>14678.7</v>
      </c>
      <c r="J13" s="12"/>
      <c r="K13" s="12">
        <f t="shared" si="4"/>
        <v>9750</v>
      </c>
    </row>
    <row r="14" spans="1:11" ht="24.75" customHeight="1">
      <c r="A14" s="14"/>
      <c r="B14" s="22" t="s">
        <v>16</v>
      </c>
      <c r="C14" s="12">
        <v>475</v>
      </c>
      <c r="D14" s="12">
        <v>542.72</v>
      </c>
      <c r="E14" s="12"/>
      <c r="F14" s="12">
        <v>420</v>
      </c>
      <c r="G14" s="17">
        <v>1</v>
      </c>
      <c r="H14" s="12">
        <f t="shared" si="2"/>
        <v>475</v>
      </c>
      <c r="I14" s="12">
        <f t="shared" si="3"/>
        <v>542.72</v>
      </c>
      <c r="J14" s="12"/>
      <c r="K14" s="12">
        <f t="shared" si="4"/>
        <v>420</v>
      </c>
    </row>
    <row r="15" spans="1:11" ht="24.75" customHeight="1">
      <c r="A15" s="14"/>
      <c r="B15" s="22" t="s">
        <v>17</v>
      </c>
      <c r="C15" s="12">
        <v>315</v>
      </c>
      <c r="D15" s="12">
        <v>267.63</v>
      </c>
      <c r="E15" s="12"/>
      <c r="F15" s="12">
        <v>225.21</v>
      </c>
      <c r="G15" s="17">
        <v>2</v>
      </c>
      <c r="H15" s="12">
        <f>C15*1</f>
        <v>315</v>
      </c>
      <c r="I15" s="12">
        <f t="shared" si="3"/>
        <v>535.26</v>
      </c>
      <c r="J15" s="12"/>
      <c r="K15" s="12">
        <f t="shared" si="4"/>
        <v>450.42</v>
      </c>
    </row>
    <row r="16" spans="1:11" ht="17.25" customHeight="1">
      <c r="A16" s="1"/>
      <c r="B16" s="11"/>
      <c r="C16" s="11"/>
      <c r="D16" s="1"/>
      <c r="E16" s="1"/>
      <c r="F16" s="1"/>
      <c r="G16" s="15" t="s">
        <v>3</v>
      </c>
      <c r="H16" s="16">
        <f>SUM(H9:H15)</f>
        <v>17660</v>
      </c>
      <c r="I16" s="16">
        <f>SUM(I9:I15)</f>
        <v>17955.439999999999</v>
      </c>
      <c r="J16" s="16">
        <f>SUM(J9:J9)</f>
        <v>0</v>
      </c>
      <c r="K16" s="16">
        <f>SUM(K9:K15)</f>
        <v>13021.03</v>
      </c>
    </row>
    <row r="17" spans="1:11" ht="17.25" customHeight="1">
      <c r="A17" s="1"/>
      <c r="C17" s="7"/>
      <c r="D17" s="1"/>
      <c r="E17" s="1"/>
      <c r="F17" s="1"/>
      <c r="G17" s="5" t="s">
        <v>4</v>
      </c>
      <c r="H17" s="13">
        <f>+H16*0.15</f>
        <v>2649</v>
      </c>
      <c r="I17" s="13">
        <f>+I16*0.15</f>
        <v>2693.3159999999998</v>
      </c>
      <c r="J17" s="13">
        <f>+J16*0.15</f>
        <v>0</v>
      </c>
      <c r="K17" s="13">
        <f>+K16*0.15</f>
        <v>1953.1545000000001</v>
      </c>
    </row>
    <row r="18" spans="1:11" ht="17.25" customHeight="1">
      <c r="A18" s="1"/>
      <c r="C18" s="8"/>
      <c r="D18" s="1"/>
      <c r="E18" s="1"/>
      <c r="F18" s="1"/>
      <c r="G18" s="5" t="s">
        <v>5</v>
      </c>
      <c r="H18" s="13">
        <f>+H16+H17</f>
        <v>20309</v>
      </c>
      <c r="I18" s="13">
        <f>+I16+I17</f>
        <v>20648.755999999998</v>
      </c>
      <c r="J18" s="13">
        <f>+J16+J17</f>
        <v>0</v>
      </c>
      <c r="K18" s="13">
        <f>+K16+K17</f>
        <v>14974.184500000001</v>
      </c>
    </row>
    <row r="19" spans="1:11">
      <c r="A19" s="1"/>
      <c r="C19" s="8"/>
      <c r="D19" s="1"/>
      <c r="E19" s="1"/>
      <c r="F19" s="1"/>
      <c r="G19" s="9"/>
      <c r="H19" s="10"/>
      <c r="I19" s="10"/>
      <c r="J19" s="10"/>
      <c r="K19" s="10"/>
    </row>
    <row r="20" spans="1:11">
      <c r="A20" s="1"/>
      <c r="B20" s="11"/>
      <c r="C20" s="8"/>
      <c r="D20" s="1"/>
      <c r="E20" s="1"/>
      <c r="F20" s="1"/>
      <c r="G20" s="9"/>
      <c r="H20" s="10"/>
      <c r="I20" s="10"/>
      <c r="J20" s="10"/>
      <c r="K20" s="10"/>
    </row>
    <row r="21" spans="1:11">
      <c r="A21" s="1"/>
      <c r="C21" s="8"/>
      <c r="D21" s="1"/>
      <c r="E21" s="1"/>
      <c r="F21" s="1"/>
      <c r="G21" s="9"/>
      <c r="H21" s="10"/>
      <c r="I21" s="10"/>
      <c r="J21" s="10"/>
      <c r="K21" s="10"/>
    </row>
    <row r="22" spans="1:11">
      <c r="A22" s="1"/>
      <c r="C22" s="8"/>
      <c r="D22" s="1"/>
      <c r="E22" s="1"/>
      <c r="F22" s="1"/>
      <c r="G22" s="9"/>
      <c r="H22" s="10"/>
      <c r="I22" s="10"/>
      <c r="J22" s="10"/>
      <c r="K22" s="10"/>
    </row>
    <row r="23" spans="1:11">
      <c r="A23" s="1"/>
      <c r="C23" s="8"/>
      <c r="D23" s="1"/>
      <c r="E23" s="1"/>
      <c r="F23" s="1"/>
      <c r="G23" s="9"/>
      <c r="H23" s="10"/>
      <c r="I23" s="10"/>
      <c r="J23" s="10"/>
      <c r="K23" s="10"/>
    </row>
    <row r="24" spans="1:11">
      <c r="A24" s="1"/>
      <c r="C24" s="8"/>
      <c r="D24" s="1"/>
      <c r="E24" s="1"/>
      <c r="F24" s="1"/>
      <c r="G24" s="9"/>
      <c r="H24" s="10"/>
      <c r="I24" s="10"/>
      <c r="J24" s="10"/>
      <c r="K24" s="10"/>
    </row>
    <row r="25" spans="1:11">
      <c r="A25" s="1"/>
      <c r="C25" s="8"/>
      <c r="D25" s="1"/>
      <c r="E25" s="1"/>
      <c r="F25" s="1"/>
      <c r="G25" s="9"/>
      <c r="H25" s="10"/>
      <c r="I25" s="10"/>
      <c r="J25" s="10"/>
      <c r="K25" s="10"/>
    </row>
  </sheetData>
  <mergeCells count="2">
    <mergeCell ref="B2:K4"/>
    <mergeCell ref="C7:K7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INFORMATICA2</dc:creator>
  <cp:lastModifiedBy>Jose David Garcia Salazar</cp:lastModifiedBy>
  <cp:lastPrinted>2026-04-29T21:01:59Z</cp:lastPrinted>
  <dcterms:created xsi:type="dcterms:W3CDTF">2021-05-17T17:03:38Z</dcterms:created>
  <dcterms:modified xsi:type="dcterms:W3CDTF">2026-04-30T21:06:13Z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b99a7dc7-8e5f-4595-ab21-6e771541df0d</vt:lpwstr>
  </property>
</Properties>
</file>